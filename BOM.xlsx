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5D113B67-EE2A-46B9-B7E1-3EA8D04C23BE}" xr6:coauthVersionLast="47" xr6:coauthVersionMax="47" xr10:uidLastSave="{00000000-0000-0000-0000-000000000000}"/>
  <bookViews>
    <workbookView xWindow="120" yWindow="15" windowWidth="28770" windowHeight="16170" xr2:uid="{452FB347-A260-41EF-91D5-C16E0E437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7" i="1"/>
  <c r="F8" i="1"/>
  <c r="F34" i="1"/>
  <c r="F32" i="1"/>
  <c r="F44" i="1"/>
  <c r="F43" i="1"/>
  <c r="F42" i="1"/>
  <c r="F41" i="1"/>
  <c r="F40" i="1"/>
  <c r="F39" i="1"/>
  <c r="F38" i="1"/>
  <c r="F37" i="1"/>
  <c r="F36" i="1"/>
  <c r="F35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<sst xmlns="http://schemas.openxmlformats.org/spreadsheetml/2006/main" count="137" uniqueCount="124">
  <si>
    <t>Name</t>
  </si>
  <si>
    <t>Description</t>
  </si>
  <si>
    <t>Qty</t>
  </si>
  <si>
    <t>Link</t>
  </si>
  <si>
    <t>Total</t>
  </si>
  <si>
    <t>Geekworm X1002 PCIe to M.2 2280 NVMe SSD Bottom for Raspberry Pi 5</t>
  </si>
  <si>
    <t>https://www.centralcomputer.com/geekworm-x1002-pcie-to-m-2-2280-nvme-ssd-bottom-for-raspberry-pi-5.html</t>
  </si>
  <si>
    <t>Raspberry Pi 5 8GB RAM Board</t>
  </si>
  <si>
    <t>8Pin Male To Dual 4Pin Male Video Card Power Cord 8 Pin PCI Express To Dual 4 Pin Molex Graphics Card Power Cable</t>
  </si>
  <si>
    <t>Raspberry Pi 5 Active Cooler Aluminum Heatsink PWM Speed Adjustable Fan Black Silver Blue Cooling Radiator for RPI 5 Pi5</t>
  </si>
  <si>
    <t>OEM Hyn PVC10 256GB M.2 PCI-e GEN 4X4 NVME SSD Internal Solid State Drive 30mm 2230 Form Factor M Key Steam Deck</t>
  </si>
  <si>
    <t>BTF-LIGHTING FCOB COB WS2811(WS2812B) IC RGB 180LED/m 540IC LED Strip DC5V 9.8FT Individual Addressable Flexible High Density Uniform Light Dream Chasing Color 10mm Width(NO Adapter or Controller)</t>
  </si>
  <si>
    <t>https://www.aliexpress.us/item/3256805483968774.html?spm=a2g0o.order_list.order_list_main.376.40fe1802Ygv0I2&amp;gatewayAdapt=glo2usa</t>
  </si>
  <si>
    <t>1-5pcs PCA9685 16 Channel 12-bit PWM Servo motor Driver I2C Module Robot</t>
  </si>
  <si>
    <t>10PCS 2.54MM Dupont Line Male Female Double Headed 1P 2P 3P 4P 5P 6P 7P 8P 9P 10 Pin Dupont Jumper Cable Wire for PCB</t>
  </si>
  <si>
    <t>https://www.aliexpress.us/item/3256807238669489.html?spm=a2g0o.order_list.order_list_main.476.40fe1802Ygv0I2&amp;gatewayAdapt=glo2usa</t>
  </si>
  <si>
    <t>4-16CH 3.3V 5V 12V 24V PNP-NPN Digital Logic Converter 5A MOS Solid State Relay PLC Signal Amplifier Board for Motor Relay</t>
  </si>
  <si>
    <t>10-75 Pcs Orange Universal Type Quick Plug-in Terminals,Electrical Equipment Connectors,Wire Connector Terminals,250V/32A</t>
  </si>
  <si>
    <t>20Sets Corner Bracket, 40Pcs Drop in T Nuts and Hex Screw Bolt for Slot 6mm 2020 Series Aluminum Extrusion Profile Accessories</t>
  </si>
  <si>
    <t>Pack of 10: Aluminum Profile Extrusion 2020 1220mm 10PCS T Slot Black European Standard Anodized CNC Aluminum Profile 10 Sets connectors 50PCS Nuts 1PC Spanner for DIY 3D Printer</t>
  </si>
  <si>
    <t>80/20 Aluminum Extrusion 2020</t>
  </si>
  <si>
    <t>https://www.amazon.com/dp/B0CCJ7HBX9</t>
  </si>
  <si>
    <t>https://www.amazon.com/dp/B0GMHB5VTM</t>
  </si>
  <si>
    <t>Screw terminal ground bars</t>
  </si>
  <si>
    <t>2 Pack: 2x12 Position Terminal Block Distribution Module Breakout Board for AC DC 15 Amp</t>
  </si>
  <si>
    <t>12V to Rasberry Pi PD Hat</t>
  </si>
  <si>
    <t>https://www.amazon.com/dp/B0D3XMLMGW</t>
  </si>
  <si>
    <t>Yahboom PD Power Expansion Board for Raspberry Pi5 8GB Power Board with Jetson/Raspberry Pi5/RDK Series for Portable Power Supply</t>
  </si>
  <si>
    <t>https://www.amazon.com/dp/B08QFMMHB7</t>
  </si>
  <si>
    <t>Duttek Right Angle HDMI to Micro HDMI Cable, Extreme Thin Micro HDMI to HDMI Adapter Cable for 1080P, 4K, UltraHD, 3D, Ethernet (6 inch/ 15cm)</t>
  </si>
  <si>
    <t>6in right angle micro HDMI to HDMI cable</t>
  </si>
  <si>
    <t>StarTech.com 8in 24 Pin ATX 2.01 Power Extension Cable - Power extension cable - 24 pin ATX (M) to 24 pin ATX (F) - 7.9 in - ATX24POWEXT</t>
  </si>
  <si>
    <t>24 pin Power Supply Extension cable</t>
  </si>
  <si>
    <t>https://www.amazon.com/dp/B000FL60AI</t>
  </si>
  <si>
    <t>https://www.amazon.com/dp/B09SYLNX8P</t>
  </si>
  <si>
    <t>SinLoon Computer Molex 4 Pin Power Supply Extension Cable, 8 Inch IDE Power to Floppy Drive Power Interface Cable. 5-Pack (4Pin)</t>
  </si>
  <si>
    <t>Optional: Piano Keyboard for portable setup</t>
  </si>
  <si>
    <t>Alesis 88 Key Keyboard Piano with 480 Sounds, Speakers, USB MIDI, Carry-Bag, Stand, Headphones, Pedal and Piano Lessons for Beginners</t>
  </si>
  <si>
    <t>https://www.amazon.com/dp/B0CLVRL7YW</t>
  </si>
  <si>
    <t>https://www.alibaba.com/product-detail/JF-1039B-DC-12V-25N-400mA_1601296981729.html</t>
  </si>
  <si>
    <t>Pack of 100: JF-1039B DC 12V 25N 400mA 10mm Push Pull Linear Actuator Electromagnet Solenoid</t>
  </si>
  <si>
    <t>CORSAIR CX series CX430 430W ATX12V v2.3 80 PLUS BRONZE Certified Active PFC Power Supply</t>
  </si>
  <si>
    <t>430 Watt computer power supply</t>
  </si>
  <si>
    <t>Already had from 2015</t>
  </si>
  <si>
    <t>USB C pigtail for monitor power</t>
  </si>
  <si>
    <t>Pack of 5: 90 Degree USB C 2 Pin Bare Wire Open End Power Cord, 2 Pin Pigtail to Type C Male DIY Cable 5V/2A, for Replacement or Repair</t>
  </si>
  <si>
    <t>https://www.aliexpress.us/item/3256809526057985.html</t>
  </si>
  <si>
    <t>DIN912 M1.6 M2 M2.5 M3 M4 M5 M6 M8 Black 304 Stainless Steel Hexagon Hex Socket Head Cap Allen Bolt Screw Length=3-100mm</t>
  </si>
  <si>
    <t>https://www.aliexpress.us/item/3256801599375629.html</t>
  </si>
  <si>
    <t>10 PCS M4 screws 12mm long</t>
  </si>
  <si>
    <t>10 PCS M4 screws 14mm long</t>
  </si>
  <si>
    <t>10 PCS M4 screws 30mm long</t>
  </si>
  <si>
    <t>https://www.aliexpress.us/item/3256809395920156.html</t>
  </si>
  <si>
    <t>Hannord USB3.2 10Gbps USB A to USB C 3.2 Gen2 Type-C Cable Data Transfer 3A 60W QC 3.0 Fast Charging for iphone Macbook SSD</t>
  </si>
  <si>
    <t>0.5m USB A to USB C 3.2 Gen2 cable for Raspberry Pi to monitor</t>
  </si>
  <si>
    <t>Raspberry Pi 5 Cooler</t>
  </si>
  <si>
    <t>https://www.aliexpress.us/item/3256807290493635.html</t>
  </si>
  <si>
    <t>Lever Nuts 75 pcs</t>
  </si>
  <si>
    <t>https://www.aliexpress.us/item/3256806776748267.html</t>
  </si>
  <si>
    <t>https://www.aliexpress.us/item/3256806427492521.html</t>
  </si>
  <si>
    <t>GPU Power supply breakout cable</t>
  </si>
  <si>
    <t>8 pin ATX 12V CPU EPS P4 Power Extension Cable 8pin 18cm Extend Cable Wire 18AWG Power Supply for Bitcoin Miner Mining Machine</t>
  </si>
  <si>
    <t>CPU Power supply breakout cable</t>
  </si>
  <si>
    <t>https://www.aliexpress.us/item/3256805256834183.html</t>
  </si>
  <si>
    <t>https://www.aliexpress.us/item/3256807163540541.html</t>
  </si>
  <si>
    <t>80/20 corner brackets</t>
  </si>
  <si>
    <t>T-Track Nuts Kit, M3 M4 M5 M6 2020 3030 Series for Aluminum Extrusion, Hex Socket Bolts &amp; T-Sliding Nuts</t>
  </si>
  <si>
    <t>T-Track Nuts</t>
  </si>
  <si>
    <t>https://www.aliexpress.us/item/3256808316984904.html</t>
  </si>
  <si>
    <t>https://www.centralcomputer.com/raspberry-pi-5-8gb-ram-board.html</t>
  </si>
  <si>
    <t>https://www.aliexpress.us/item/3256803571055717.html</t>
  </si>
  <si>
    <t>https://www.amazon.com/dp/B0D62NN4PL</t>
  </si>
  <si>
    <t>10-200pcs G10.9 Black Carbon Steel DIN7991 Hex Socket Countersunk ISO7380 Round Allen Hexagon Socket Screw M2 M2.5 M3 M4 M5 M6M8 Carbon (DIN7991), M4(50pcs), 8mm</t>
  </si>
  <si>
    <t>Screws to attach solenoids to 3D print</t>
  </si>
  <si>
    <t>https://www.aliexpress.us/item/3256807130556980.html</t>
  </si>
  <si>
    <t>Dupont Line 10cm/20CM/30CM Male to Male+Female to Male + Female to Female Jumper Wire Dupont Cable for arduino DIY KIT - 1set 20CM</t>
  </si>
  <si>
    <t>Dupont wires</t>
  </si>
  <si>
    <t>Dupont Line 10cm/20CM/30CM Male to Male+Female to Male + Female to Female Jumper Wire Dupont Cable for arduino DIY KIT - 1set 30CM</t>
  </si>
  <si>
    <t>https://www.aliexpress.us/item/3256806885766712.html</t>
  </si>
  <si>
    <t>I2C Board to PLC board wires</t>
  </si>
  <si>
    <t>10PCS 2.54MM Dupont Line Male Female Double Headed 1P 2P 3P 4P 5P 6P 7P 8P 9P 10 Pin Dupont Jumper Cable Wire for PCB - 20cm, 4P, Male to Female</t>
  </si>
  <si>
    <t>5000PCS Dental Orthodontic Elastic Rubber Bands Latex Teeth Braces Ortho Tool Dentist Ligature Ring 2.5 3.5 4.5 5 6.5OZ Force - 3.5oz Chimpunk</t>
  </si>
  <si>
    <t>Bumpers for inside solenoids</t>
  </si>
  <si>
    <t>https://www.aliexpress.us/item/3256806248407763.html</t>
  </si>
  <si>
    <t>PLA | 1.1kg*10 Rolls / Black*10</t>
  </si>
  <si>
    <t>https://jayo3d.com/products/special-offer-jayo-1-1kg-5-10-rolls-collection-pla-pla-matte-high-speed-matte-petg-3d-printing-filament?_pos=4&amp;_sid=c83abc0e3&amp;_ss=r&amp;variant=52311169761585</t>
  </si>
  <si>
    <t>Bambu Lab A1 Combo 3D Printer</t>
  </si>
  <si>
    <t>https://www.microcenter.com/product/675479/bambu-lab-a1-combo-3d-printer</t>
  </si>
  <si>
    <t>https://www.amazon.com/dp/B0FNP68QYR</t>
  </si>
  <si>
    <t>4K touch screen  monitor</t>
  </si>
  <si>
    <t>WCKUN 4K Portable Touch Monitor, 15.6" inch 3840 * 2160 UHD w/USB-C HDMI Laptop Monitor, 2000:1 100% RGB IPS ，Aluminum Alloy Shell,10-Point Touch，Dual Speaker, HDR, for Home, Work</t>
  </si>
  <si>
    <t>https://www.amazon.com/dp/B0DP8NKR5W</t>
  </si>
  <si>
    <t>https://www.amazon.com/dp/B089D29FHC?th=1</t>
  </si>
  <si>
    <t>22 AWG Stranded Wire Spool 25ft Each 6 Colors Flexible 22 Gauge Silicone Hook up Wire Kit Electrical Tinned Copper Wire</t>
  </si>
  <si>
    <t>Taiss 600PCS Dupont Connector Kit - 2.54mm 1/2/3/4/5/6/7 Pin Housing Connector and Male/Female Crimp Pin, Jumper Wire Cable</t>
  </si>
  <si>
    <t>https://www.amazon.com/dp/B0B11SX39B</t>
  </si>
  <si>
    <t>Shipping/Tax</t>
  </si>
  <si>
    <t>20 awg Silicone Electrical Wire 2 Conductor Parallel Wire line 200ft [Black 100ft Red 100ft] 20 Gauge Soft and Flexible Hook Up Oxygen Free Stranded Tinned Copper Wire</t>
  </si>
  <si>
    <t>Power wire</t>
  </si>
  <si>
    <t>https://www.amazon.com/dp/B07K9JKXM9</t>
  </si>
  <si>
    <t>Molex connectors to connect to power supply</t>
  </si>
  <si>
    <t xml:space="preserve"> JF-1039B Solenoids</t>
  </si>
  <si>
    <t>Cost</t>
  </si>
  <si>
    <t>Plc driver boards, pnp input 3.3 - 5v, pnp output, 16 channel</t>
  </si>
  <si>
    <t>Filament</t>
  </si>
  <si>
    <t>256gb nvme SSD</t>
  </si>
  <si>
    <t>LED RGB addressable light strip</t>
  </si>
  <si>
    <t>Signal wire</t>
  </si>
  <si>
    <t>I2C boards 5 qty</t>
  </si>
  <si>
    <t>Plc driver boards, pnp input 3.3 - 5v, pnp output, 8 channel</t>
  </si>
  <si>
    <t>Raspberry Pi nvme hat</t>
  </si>
  <si>
    <t>Raspberry Pi 8gb</t>
  </si>
  <si>
    <t>Dupont connectors</t>
  </si>
  <si>
    <t>Dupont extension wires  - for daisy chaining I2C boards</t>
  </si>
  <si>
    <t>I2C boards 1 qty</t>
  </si>
  <si>
    <t>3D printer</t>
  </si>
  <si>
    <t>50V 57µF capacitor</t>
  </si>
  <si>
    <t>6 PCS Dual High-Power MOSFET Trigger Switch Drive Module, Upgrade 0-20KHz PWM Adjustment Electronic Switch Control Board Motor Speed Controller, Lamp Brightness Control, DC 5V-36V 400W, 15A (Max 30A)</t>
  </si>
  <si>
    <t>6 pack MOSFET Trigger switch</t>
  </si>
  <si>
    <t>https://www.amazon.com/dp/B0FMJH3DML</t>
  </si>
  <si>
    <t>https://www.amazon.com/B0F8C2ST9B</t>
  </si>
  <si>
    <t>https://www.amazon.com/dp/B09T35Z4QR</t>
  </si>
  <si>
    <t>Heschen Solenoid Electromagnet, HS-1578B, DC12V 20mm Stroke, Force 50N, Push Pull Type, Open Frame, Linear Motion</t>
  </si>
  <si>
    <t>Sustain Pedal Solenoid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</si>
</sst>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11182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2" applyFill="1"/>
    <xf numFmtId="44" fontId="0" fillId="0" borderId="0" xfId="1" applyFont="1" applyFill="1"/>
    <xf numFmtId="44" fontId="1" fillId="0" borderId="0" xfId="1" applyFont="1" applyFill="1"/>
    <xf numFmtId="0" fontId="3" fillId="0" borderId="0" xfId="0" applyFont="1" applyAlignment="1">
      <alignment horizontal="center"/>
    </xf>
    <xf numFmtId="44" fontId="3" fillId="0" borderId="0" xfId="1" applyFont="1" applyFill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D62NN4PL" TargetMode="External"/><Relationship Id="rId2" Type="http://schemas.openxmlformats.org/officeDocument/2006/relationships/hyperlink" Target="https://www.aliexpress.us/item/3256803571055717.html" TargetMode="External"/><Relationship Id="rId1" Type="http://schemas.openxmlformats.org/officeDocument/2006/relationships/hyperlink" Target="https://www.amazon.com/dp/B000FL60AI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F67F-8566-4B6F-B350-2B630EF9F438}">
  <sheetPr>
    <pageSetUpPr fitToPage="1"/>
  </sheetPr>
  <dimension ref="A1:G46"/>
  <sheetViews>
    <sheetView tabSelected="1" workbookViewId="0">
      <selection activeCell="F46" sqref="F46"/>
    </sheetView>
  </sheetViews>
  <sheetFormatPr defaultRowHeight="15" x14ac:dyDescent="0.25"/>
  <cols>
    <col min="1" max="1" width="56.7109375" customWidth="1"/>
    <col min="2" max="2" width="22.42578125" customWidth="1"/>
    <col min="3" max="3" width="5.42578125" customWidth="1"/>
    <col min="4" max="4" width="9.28515625" style="2" bestFit="1" customWidth="1"/>
    <col min="5" max="5" width="12.5703125" style="2" customWidth="1"/>
    <col min="6" max="6" width="10.5703125" style="2" bestFit="1" customWidth="1"/>
    <col min="7" max="7" width="25.85546875" customWidth="1"/>
  </cols>
  <sheetData>
    <row r="1" spans="1:7" x14ac:dyDescent="0.25">
      <c r="A1" s="4" t="s">
        <v>1</v>
      </c>
      <c r="B1" s="4" t="s">
        <v>0</v>
      </c>
      <c r="C1" s="4" t="s">
        <v>2</v>
      </c>
      <c r="D1" s="5" t="s">
        <v>102</v>
      </c>
      <c r="E1" s="5" t="s">
        <v>96</v>
      </c>
      <c r="F1" s="5" t="s">
        <v>4</v>
      </c>
      <c r="G1" s="4" t="s">
        <v>3</v>
      </c>
    </row>
    <row r="2" spans="1:7" x14ac:dyDescent="0.25">
      <c r="A2" t="s">
        <v>101</v>
      </c>
      <c r="B2" t="s">
        <v>40</v>
      </c>
      <c r="C2">
        <v>1</v>
      </c>
      <c r="D2" s="2">
        <v>338.01</v>
      </c>
      <c r="E2" s="2">
        <v>123</v>
      </c>
      <c r="F2" s="2">
        <f t="shared" ref="F2:F44" si="0">(C2*D2)+E2</f>
        <v>461.01</v>
      </c>
      <c r="G2" t="s">
        <v>39</v>
      </c>
    </row>
    <row r="3" spans="1:7" x14ac:dyDescent="0.25">
      <c r="A3" t="s">
        <v>89</v>
      </c>
      <c r="B3" t="s">
        <v>90</v>
      </c>
      <c r="C3">
        <v>1</v>
      </c>
      <c r="D3" s="2">
        <v>188.99</v>
      </c>
      <c r="F3" s="2">
        <f t="shared" si="0"/>
        <v>188.99</v>
      </c>
      <c r="G3" t="s">
        <v>91</v>
      </c>
    </row>
    <row r="4" spans="1:7" x14ac:dyDescent="0.25">
      <c r="A4" t="s">
        <v>103</v>
      </c>
      <c r="B4" t="s">
        <v>16</v>
      </c>
      <c r="C4">
        <v>6</v>
      </c>
      <c r="D4" s="2">
        <v>21.15</v>
      </c>
      <c r="F4" s="2">
        <f t="shared" si="0"/>
        <v>126.89999999999999</v>
      </c>
      <c r="G4" t="s">
        <v>15</v>
      </c>
    </row>
    <row r="5" spans="1:7" x14ac:dyDescent="0.25">
      <c r="A5" t="s">
        <v>111</v>
      </c>
      <c r="B5" t="s">
        <v>7</v>
      </c>
      <c r="C5">
        <v>1</v>
      </c>
      <c r="D5" s="2">
        <v>89.99</v>
      </c>
      <c r="E5" s="2">
        <v>18.73</v>
      </c>
      <c r="F5" s="2">
        <f t="shared" si="0"/>
        <v>108.72</v>
      </c>
      <c r="G5" t="s">
        <v>69</v>
      </c>
    </row>
    <row r="6" spans="1:7" x14ac:dyDescent="0.25">
      <c r="A6" t="s">
        <v>20</v>
      </c>
      <c r="B6" t="s">
        <v>19</v>
      </c>
      <c r="C6">
        <v>1</v>
      </c>
      <c r="D6" s="3">
        <v>83.39</v>
      </c>
      <c r="E6" s="2">
        <v>0</v>
      </c>
      <c r="F6" s="2">
        <f t="shared" si="0"/>
        <v>83.39</v>
      </c>
      <c r="G6" s="1" t="s">
        <v>21</v>
      </c>
    </row>
    <row r="7" spans="1:7" x14ac:dyDescent="0.25">
      <c r="A7" t="s">
        <v>104</v>
      </c>
      <c r="B7" t="s">
        <v>84</v>
      </c>
      <c r="C7">
        <v>0.5</v>
      </c>
      <c r="D7" s="2">
        <v>89.99</v>
      </c>
      <c r="E7" s="2">
        <v>0</v>
      </c>
      <c r="F7" s="2">
        <f t="shared" si="0"/>
        <v>44.994999999999997</v>
      </c>
      <c r="G7" t="s">
        <v>85</v>
      </c>
    </row>
    <row r="8" spans="1:7" x14ac:dyDescent="0.25">
      <c r="A8" t="s">
        <v>123</v>
      </c>
      <c r="B8" t="s">
        <v>122</v>
      </c>
      <c r="C8">
        <v>1</v>
      </c>
      <c r="D8" s="2">
        <v>35.99</v>
      </c>
      <c r="F8" s="2">
        <f t="shared" si="0"/>
        <v>35.99</v>
      </c>
      <c r="G8" t="s">
        <v>121</v>
      </c>
    </row>
    <row r="9" spans="1:7" x14ac:dyDescent="0.25">
      <c r="A9" t="s">
        <v>42</v>
      </c>
      <c r="B9" t="s">
        <v>41</v>
      </c>
      <c r="C9">
        <v>1</v>
      </c>
      <c r="D9" s="2">
        <v>35.99</v>
      </c>
      <c r="E9" s="2">
        <v>0</v>
      </c>
      <c r="F9" s="2">
        <f t="shared" si="0"/>
        <v>35.99</v>
      </c>
      <c r="G9" t="s">
        <v>43</v>
      </c>
    </row>
    <row r="10" spans="1:7" x14ac:dyDescent="0.25">
      <c r="A10" t="s">
        <v>105</v>
      </c>
      <c r="B10" t="s">
        <v>10</v>
      </c>
      <c r="C10">
        <v>1</v>
      </c>
      <c r="D10" s="2">
        <v>33.99</v>
      </c>
      <c r="F10" s="2">
        <f t="shared" si="0"/>
        <v>33.99</v>
      </c>
      <c r="G10" s="1" t="s">
        <v>88</v>
      </c>
    </row>
    <row r="11" spans="1:7" x14ac:dyDescent="0.25">
      <c r="A11" t="s">
        <v>106</v>
      </c>
      <c r="B11" t="s">
        <v>11</v>
      </c>
      <c r="C11">
        <v>1</v>
      </c>
      <c r="D11" s="2">
        <v>32.99</v>
      </c>
      <c r="E11" s="2">
        <v>0</v>
      </c>
      <c r="F11" s="2">
        <f t="shared" si="0"/>
        <v>32.99</v>
      </c>
      <c r="G11" s="1" t="s">
        <v>71</v>
      </c>
    </row>
    <row r="12" spans="1:7" x14ac:dyDescent="0.25">
      <c r="A12" t="s">
        <v>23</v>
      </c>
      <c r="B12" t="s">
        <v>24</v>
      </c>
      <c r="C12">
        <v>3</v>
      </c>
      <c r="D12" s="2">
        <v>9.99</v>
      </c>
      <c r="E12" s="2">
        <v>0</v>
      </c>
      <c r="F12" s="2">
        <f t="shared" si="0"/>
        <v>29.97</v>
      </c>
      <c r="G12" t="s">
        <v>22</v>
      </c>
    </row>
    <row r="13" spans="1:7" x14ac:dyDescent="0.25">
      <c r="A13" t="s">
        <v>67</v>
      </c>
      <c r="B13" t="s">
        <v>66</v>
      </c>
      <c r="C13">
        <v>5</v>
      </c>
      <c r="D13" s="2">
        <v>4.5599999999999996</v>
      </c>
      <c r="F13" s="2">
        <f t="shared" si="0"/>
        <v>22.799999999999997</v>
      </c>
      <c r="G13" t="s">
        <v>68</v>
      </c>
    </row>
    <row r="14" spans="1:7" x14ac:dyDescent="0.25">
      <c r="A14" t="s">
        <v>73</v>
      </c>
      <c r="B14" t="s">
        <v>72</v>
      </c>
      <c r="C14">
        <v>5</v>
      </c>
      <c r="D14" s="2">
        <v>4.2300000000000004</v>
      </c>
      <c r="F14" s="2">
        <f t="shared" si="0"/>
        <v>21.150000000000002</v>
      </c>
      <c r="G14" t="s">
        <v>74</v>
      </c>
    </row>
    <row r="15" spans="1:7" x14ac:dyDescent="0.25">
      <c r="A15" t="s">
        <v>107</v>
      </c>
      <c r="B15" t="s">
        <v>93</v>
      </c>
      <c r="C15">
        <v>1</v>
      </c>
      <c r="D15" s="2">
        <v>19.989999999999998</v>
      </c>
      <c r="F15" s="2">
        <f t="shared" si="0"/>
        <v>19.989999999999998</v>
      </c>
      <c r="G15" t="s">
        <v>92</v>
      </c>
    </row>
    <row r="16" spans="1:7" x14ac:dyDescent="0.25">
      <c r="A16" t="s">
        <v>98</v>
      </c>
      <c r="B16" t="s">
        <v>97</v>
      </c>
      <c r="C16">
        <v>1</v>
      </c>
      <c r="D16" s="2">
        <v>18.98</v>
      </c>
      <c r="F16" s="2">
        <f t="shared" si="0"/>
        <v>18.98</v>
      </c>
      <c r="G16" t="s">
        <v>99</v>
      </c>
    </row>
    <row r="17" spans="1:7" x14ac:dyDescent="0.25">
      <c r="A17" t="s">
        <v>108</v>
      </c>
      <c r="B17" t="s">
        <v>13</v>
      </c>
      <c r="C17">
        <v>1</v>
      </c>
      <c r="D17" s="2">
        <v>16.43</v>
      </c>
      <c r="F17" s="2">
        <f t="shared" si="0"/>
        <v>16.43</v>
      </c>
      <c r="G17" t="s">
        <v>12</v>
      </c>
    </row>
    <row r="18" spans="1:7" x14ac:dyDescent="0.25">
      <c r="A18" t="s">
        <v>25</v>
      </c>
      <c r="B18" t="s">
        <v>27</v>
      </c>
      <c r="C18">
        <v>1</v>
      </c>
      <c r="D18" s="2">
        <v>15.99</v>
      </c>
      <c r="E18" s="2">
        <v>0</v>
      </c>
      <c r="F18" s="2">
        <f t="shared" si="0"/>
        <v>15.99</v>
      </c>
      <c r="G18" t="s">
        <v>26</v>
      </c>
    </row>
    <row r="19" spans="1:7" x14ac:dyDescent="0.25">
      <c r="A19" t="s">
        <v>57</v>
      </c>
      <c r="B19" t="s">
        <v>17</v>
      </c>
      <c r="C19">
        <v>2</v>
      </c>
      <c r="D19" s="2">
        <v>7.97</v>
      </c>
      <c r="E19" s="2">
        <v>0</v>
      </c>
      <c r="F19" s="2">
        <f t="shared" si="0"/>
        <v>15.94</v>
      </c>
      <c r="G19" t="s">
        <v>58</v>
      </c>
    </row>
    <row r="20" spans="1:7" x14ac:dyDescent="0.25">
      <c r="A20" t="s">
        <v>109</v>
      </c>
      <c r="B20" t="s">
        <v>16</v>
      </c>
      <c r="C20">
        <v>1</v>
      </c>
      <c r="D20" s="2">
        <v>15.31</v>
      </c>
      <c r="F20" s="2">
        <f t="shared" si="0"/>
        <v>15.31</v>
      </c>
      <c r="G20" t="s">
        <v>15</v>
      </c>
    </row>
    <row r="21" spans="1:7" x14ac:dyDescent="0.25">
      <c r="A21" t="s">
        <v>110</v>
      </c>
      <c r="B21" t="s">
        <v>5</v>
      </c>
      <c r="C21">
        <v>1</v>
      </c>
      <c r="D21" s="2">
        <v>12.76</v>
      </c>
      <c r="F21" s="2">
        <f t="shared" si="0"/>
        <v>12.76</v>
      </c>
      <c r="G21" t="s">
        <v>6</v>
      </c>
    </row>
    <row r="22" spans="1:7" x14ac:dyDescent="0.25">
      <c r="A22" t="s">
        <v>30</v>
      </c>
      <c r="B22" t="s">
        <v>29</v>
      </c>
      <c r="C22">
        <v>1</v>
      </c>
      <c r="D22" s="2">
        <v>12.72</v>
      </c>
      <c r="E22" s="2">
        <v>0</v>
      </c>
      <c r="F22" s="2">
        <f t="shared" si="0"/>
        <v>12.72</v>
      </c>
      <c r="G22" t="s">
        <v>28</v>
      </c>
    </row>
    <row r="23" spans="1:7" x14ac:dyDescent="0.25">
      <c r="A23" t="s">
        <v>76</v>
      </c>
      <c r="B23" t="s">
        <v>77</v>
      </c>
      <c r="C23">
        <v>5</v>
      </c>
      <c r="D23" s="2">
        <v>2.4900000000000002</v>
      </c>
      <c r="F23" s="2">
        <f t="shared" si="0"/>
        <v>12.450000000000001</v>
      </c>
      <c r="G23" t="s">
        <v>78</v>
      </c>
    </row>
    <row r="24" spans="1:7" x14ac:dyDescent="0.25">
      <c r="A24" t="s">
        <v>76</v>
      </c>
      <c r="B24" t="s">
        <v>75</v>
      </c>
      <c r="C24">
        <v>5</v>
      </c>
      <c r="D24" s="2">
        <v>2.19</v>
      </c>
      <c r="F24" s="2">
        <f t="shared" si="0"/>
        <v>10.95</v>
      </c>
      <c r="G24" t="s">
        <v>78</v>
      </c>
    </row>
    <row r="25" spans="1:7" x14ac:dyDescent="0.25">
      <c r="A25" t="s">
        <v>112</v>
      </c>
      <c r="B25" t="s">
        <v>94</v>
      </c>
      <c r="C25">
        <v>1</v>
      </c>
      <c r="D25" s="2">
        <v>9.99</v>
      </c>
      <c r="E25" s="2">
        <v>0.75</v>
      </c>
      <c r="F25" s="2">
        <f t="shared" si="0"/>
        <v>10.74</v>
      </c>
      <c r="G25" t="s">
        <v>95</v>
      </c>
    </row>
    <row r="26" spans="1:7" x14ac:dyDescent="0.25">
      <c r="A26" t="s">
        <v>100</v>
      </c>
      <c r="B26" t="s">
        <v>35</v>
      </c>
      <c r="C26">
        <v>1</v>
      </c>
      <c r="D26" s="2">
        <v>8.99</v>
      </c>
      <c r="E26" s="2">
        <v>0</v>
      </c>
      <c r="F26" s="2">
        <f t="shared" si="0"/>
        <v>8.99</v>
      </c>
      <c r="G26" t="s">
        <v>34</v>
      </c>
    </row>
    <row r="27" spans="1:7" x14ac:dyDescent="0.25">
      <c r="A27" t="s">
        <v>79</v>
      </c>
      <c r="B27" t="s">
        <v>80</v>
      </c>
      <c r="C27">
        <v>3</v>
      </c>
      <c r="D27" s="2">
        <v>2.93</v>
      </c>
      <c r="F27" s="2">
        <f t="shared" si="0"/>
        <v>8.7900000000000009</v>
      </c>
      <c r="G27" t="s">
        <v>70</v>
      </c>
    </row>
    <row r="28" spans="1:7" x14ac:dyDescent="0.25">
      <c r="A28" t="s">
        <v>82</v>
      </c>
      <c r="B28" t="s">
        <v>81</v>
      </c>
      <c r="C28">
        <v>1</v>
      </c>
      <c r="D28" s="2">
        <v>7.56</v>
      </c>
      <c r="F28" s="2">
        <f t="shared" si="0"/>
        <v>7.56</v>
      </c>
      <c r="G28" t="s">
        <v>83</v>
      </c>
    </row>
    <row r="29" spans="1:7" x14ac:dyDescent="0.25">
      <c r="A29" t="s">
        <v>65</v>
      </c>
      <c r="B29" t="s">
        <v>18</v>
      </c>
      <c r="C29">
        <v>1</v>
      </c>
      <c r="D29" s="2">
        <v>7.18</v>
      </c>
      <c r="F29" s="2">
        <f t="shared" si="0"/>
        <v>7.18</v>
      </c>
      <c r="G29" t="s">
        <v>64</v>
      </c>
    </row>
    <row r="30" spans="1:7" x14ac:dyDescent="0.25">
      <c r="A30" t="s">
        <v>32</v>
      </c>
      <c r="B30" t="s">
        <v>31</v>
      </c>
      <c r="C30">
        <v>1</v>
      </c>
      <c r="D30" s="2">
        <v>6.25</v>
      </c>
      <c r="E30" s="2">
        <v>0</v>
      </c>
      <c r="F30" s="2">
        <f t="shared" si="0"/>
        <v>6.25</v>
      </c>
      <c r="G30" s="1" t="s">
        <v>33</v>
      </c>
    </row>
    <row r="31" spans="1:7" x14ac:dyDescent="0.25">
      <c r="A31" t="s">
        <v>113</v>
      </c>
      <c r="B31" t="s">
        <v>14</v>
      </c>
      <c r="C31">
        <v>1</v>
      </c>
      <c r="D31" s="2">
        <v>6.15</v>
      </c>
      <c r="F31" s="2">
        <f t="shared" si="0"/>
        <v>6.15</v>
      </c>
      <c r="G31" s="1" t="s">
        <v>70</v>
      </c>
    </row>
    <row r="32" spans="1:7" x14ac:dyDescent="0.25">
      <c r="A32" t="s">
        <v>116</v>
      </c>
      <c r="B32" t="s">
        <v>116</v>
      </c>
      <c r="C32">
        <v>1</v>
      </c>
      <c r="D32" s="2">
        <v>5.99</v>
      </c>
      <c r="F32" s="2">
        <f>(C32*D32)+E32</f>
        <v>5.99</v>
      </c>
      <c r="G32" t="s">
        <v>120</v>
      </c>
    </row>
    <row r="33" spans="1:7" x14ac:dyDescent="0.25">
      <c r="A33" t="s">
        <v>51</v>
      </c>
      <c r="B33" t="s">
        <v>47</v>
      </c>
      <c r="C33">
        <v>2</v>
      </c>
      <c r="D33" s="2">
        <v>2.7</v>
      </c>
      <c r="E33" s="2">
        <v>0</v>
      </c>
      <c r="F33" s="2">
        <f t="shared" si="0"/>
        <v>5.4</v>
      </c>
      <c r="G33" t="s">
        <v>48</v>
      </c>
    </row>
    <row r="34" spans="1:7" x14ac:dyDescent="0.25">
      <c r="A34" t="s">
        <v>118</v>
      </c>
      <c r="B34" t="s">
        <v>117</v>
      </c>
      <c r="C34">
        <v>1</v>
      </c>
      <c r="D34" s="2">
        <v>5.29</v>
      </c>
      <c r="F34" s="2">
        <f>(C34*D34)+E34</f>
        <v>5.29</v>
      </c>
      <c r="G34" t="s">
        <v>119</v>
      </c>
    </row>
    <row r="35" spans="1:7" x14ac:dyDescent="0.25">
      <c r="A35" t="s">
        <v>55</v>
      </c>
      <c r="B35" t="s">
        <v>9</v>
      </c>
      <c r="C35">
        <v>1</v>
      </c>
      <c r="D35" s="2">
        <v>4.3899999999999997</v>
      </c>
      <c r="E35" s="2">
        <v>0</v>
      </c>
      <c r="F35" s="2">
        <f t="shared" si="0"/>
        <v>4.3899999999999997</v>
      </c>
      <c r="G35" t="s">
        <v>56</v>
      </c>
    </row>
    <row r="36" spans="1:7" x14ac:dyDescent="0.25">
      <c r="A36" t="s">
        <v>50</v>
      </c>
      <c r="B36" t="s">
        <v>47</v>
      </c>
      <c r="C36">
        <v>2</v>
      </c>
      <c r="D36" s="2">
        <v>1.99</v>
      </c>
      <c r="E36" s="2">
        <v>0</v>
      </c>
      <c r="F36" s="2">
        <f t="shared" si="0"/>
        <v>3.98</v>
      </c>
      <c r="G36" t="s">
        <v>48</v>
      </c>
    </row>
    <row r="37" spans="1:7" x14ac:dyDescent="0.25">
      <c r="A37" t="s">
        <v>49</v>
      </c>
      <c r="B37" t="s">
        <v>47</v>
      </c>
      <c r="C37">
        <v>2</v>
      </c>
      <c r="D37" s="2">
        <v>1.87</v>
      </c>
      <c r="E37" s="2">
        <v>0</v>
      </c>
      <c r="F37" s="2">
        <f t="shared" si="0"/>
        <v>3.74</v>
      </c>
      <c r="G37" t="s">
        <v>48</v>
      </c>
    </row>
    <row r="38" spans="1:7" x14ac:dyDescent="0.25">
      <c r="A38" t="s">
        <v>44</v>
      </c>
      <c r="B38" t="s">
        <v>45</v>
      </c>
      <c r="C38">
        <v>1</v>
      </c>
      <c r="D38" s="2">
        <v>3.08</v>
      </c>
      <c r="E38" s="2">
        <v>0.12</v>
      </c>
      <c r="F38" s="2">
        <f t="shared" si="0"/>
        <v>3.2</v>
      </c>
      <c r="G38" t="s">
        <v>46</v>
      </c>
    </row>
    <row r="39" spans="1:7" x14ac:dyDescent="0.25">
      <c r="A39" t="s">
        <v>54</v>
      </c>
      <c r="B39" t="s">
        <v>53</v>
      </c>
      <c r="C39">
        <v>1</v>
      </c>
      <c r="D39" s="2">
        <v>2.99</v>
      </c>
      <c r="F39" s="2">
        <f t="shared" si="0"/>
        <v>2.99</v>
      </c>
      <c r="G39" t="s">
        <v>52</v>
      </c>
    </row>
    <row r="40" spans="1:7" x14ac:dyDescent="0.25">
      <c r="A40" t="s">
        <v>114</v>
      </c>
      <c r="B40" t="s">
        <v>13</v>
      </c>
      <c r="C40">
        <v>1</v>
      </c>
      <c r="D40" s="2">
        <v>2.78</v>
      </c>
      <c r="F40" s="2">
        <f t="shared" si="0"/>
        <v>2.78</v>
      </c>
      <c r="G40" t="s">
        <v>12</v>
      </c>
    </row>
    <row r="41" spans="1:7" x14ac:dyDescent="0.25">
      <c r="A41" t="s">
        <v>62</v>
      </c>
      <c r="B41" t="s">
        <v>61</v>
      </c>
      <c r="C41">
        <v>1</v>
      </c>
      <c r="D41" s="2">
        <v>1.59</v>
      </c>
      <c r="F41" s="2">
        <f t="shared" si="0"/>
        <v>1.59</v>
      </c>
      <c r="G41" t="s">
        <v>63</v>
      </c>
    </row>
    <row r="42" spans="1:7" x14ac:dyDescent="0.25">
      <c r="A42" t="s">
        <v>60</v>
      </c>
      <c r="B42" t="s">
        <v>8</v>
      </c>
      <c r="C42">
        <v>1</v>
      </c>
      <c r="D42" s="2">
        <v>1.39</v>
      </c>
      <c r="F42" s="2">
        <f t="shared" si="0"/>
        <v>1.39</v>
      </c>
      <c r="G42" t="s">
        <v>59</v>
      </c>
    </row>
    <row r="43" spans="1:7" x14ac:dyDescent="0.25">
      <c r="A43" t="s">
        <v>115</v>
      </c>
      <c r="B43" t="s">
        <v>86</v>
      </c>
      <c r="C43">
        <v>0</v>
      </c>
      <c r="D43" s="2">
        <v>379.99</v>
      </c>
      <c r="E43" s="2">
        <v>0</v>
      </c>
      <c r="F43" s="2">
        <f t="shared" si="0"/>
        <v>0</v>
      </c>
      <c r="G43" t="s">
        <v>87</v>
      </c>
    </row>
    <row r="44" spans="1:7" x14ac:dyDescent="0.25">
      <c r="A44" t="s">
        <v>36</v>
      </c>
      <c r="B44" t="s">
        <v>37</v>
      </c>
      <c r="C44">
        <v>0</v>
      </c>
      <c r="D44" s="2">
        <v>189</v>
      </c>
      <c r="E44" s="2">
        <v>0</v>
      </c>
      <c r="F44" s="2">
        <f t="shared" si="0"/>
        <v>0</v>
      </c>
      <c r="G44" t="s">
        <v>38</v>
      </c>
    </row>
    <row r="46" spans="1:7" x14ac:dyDescent="0.25">
      <c r="A46" t="s">
        <v>4</v>
      </c>
      <c r="F46" s="2">
        <f>SUM(F2:F45)</f>
        <v>1474.8050000000005</v>
      </c>
    </row>
  </sheetData>
  <hyperlinks>
    <hyperlink ref="G30" r:id="rId1" xr:uid="{B1287F68-2988-4134-B57D-4C86D035E141}"/>
    <hyperlink ref="G31" r:id="rId2" xr:uid="{9C2F5A22-9E5A-4984-996F-CE998D6190AE}"/>
    <hyperlink ref="G11" r:id="rId3" xr:uid="{D91CC004-09CB-4168-A86B-F7654E6B49C8}"/>
  </hyperlinks>
  <pageMargins left="0.25" right="0.25" top="0.25" bottom="0.25" header="0.3" footer="0.3"/>
  <pageSetup scale="92" fitToWidth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2026-07-04T19:29:01Z</dcterms:created>
  <dcterms:modified xsi:type="dcterms:W3CDTF">2026-07-05T23:49:31Z</dcterms:modified>
</cp:coreProperties>
</file>